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say\Documents\Octavo Semestre\Ciencia de Datos\Clases\"/>
    </mc:Choice>
  </mc:AlternateContent>
  <xr:revisionPtr revIDLastSave="0" documentId="8_{1E8BDCE9-8A84-4908-A9B4-58988AA73FF4}" xr6:coauthVersionLast="47" xr6:coauthVersionMax="47" xr10:uidLastSave="{00000000-0000-0000-0000-000000000000}"/>
  <bookViews>
    <workbookView xWindow="-120" yWindow="-120" windowWidth="20730" windowHeight="11160" activeTab="2" xr2:uid="{0030AEAE-3D30-4E8C-B3D4-5ECCFB5C2B3E}"/>
  </bookViews>
  <sheets>
    <sheet name="Productos" sheetId="2" r:id="rId1"/>
    <sheet name="Sheet1" sheetId="1" r:id="rId2"/>
    <sheet name="Sheet2" sheetId="3" r:id="rId3"/>
  </sheets>
  <definedNames>
    <definedName name="ExternalData_1" localSheetId="0" hidden="1">Productos!$A$1:$J$128</definedName>
  </definedName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33DBC4-C1F5-47DC-A2BF-E0A35001629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C54DE78A-753F-44CC-A30A-44CC76781C13}" keepAlive="1" name="Query - Productos" description="Connection to the 'Productos' query in the workbook." type="5" refreshedVersion="8" background="1" saveData="1">
    <dbPr connection="Provider=Microsoft.Mashup.OleDb.1;Data Source=$Workbook$;Location=Productos;Extended Properties=&quot;&quot;" command="SELECT * FROM [Productos]"/>
  </connection>
  <connection id="3" xr16:uid="{E7DD628D-2CB9-4798-B008-D5E2416B735E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74FD4CE9-8B92-4570-AACE-C671284821E5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63304E5-0B80-42FA-9FA2-7948AAC92B7F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<sst xmlns="http://schemas.openxmlformats.org/spreadsheetml/2006/main" count="152" uniqueCount="41">
  <si>
    <t>Producto</t>
  </si>
  <si>
    <t>Cantidad (g/ml)</t>
  </si>
  <si>
    <t>Categoria</t>
  </si>
  <si>
    <t>Unidades Vendidas</t>
  </si>
  <si>
    <t>Precio Unitario</t>
  </si>
  <si>
    <t>Costo Unidad</t>
  </si>
  <si>
    <t>Fecha</t>
  </si>
  <si>
    <t>Ingreso</t>
  </si>
  <si>
    <t>Costos</t>
  </si>
  <si>
    <t>Utilidad</t>
  </si>
  <si>
    <t>Pasta</t>
  </si>
  <si>
    <t>Alimentos</t>
  </si>
  <si>
    <t>Spaguetti</t>
  </si>
  <si>
    <t>Cereal</t>
  </si>
  <si>
    <t>Fríjol</t>
  </si>
  <si>
    <t>Mantequilla</t>
  </si>
  <si>
    <t>Queso</t>
  </si>
  <si>
    <t>Chocolate</t>
  </si>
  <si>
    <t>Café</t>
  </si>
  <si>
    <t>Azúcar</t>
  </si>
  <si>
    <t>Sal</t>
  </si>
  <si>
    <t>Arroz</t>
  </si>
  <si>
    <t>Lentejas</t>
  </si>
  <si>
    <t>Pan</t>
  </si>
  <si>
    <t>Jamón</t>
  </si>
  <si>
    <t>Carne</t>
  </si>
  <si>
    <t>Pollo</t>
  </si>
  <si>
    <t>Leche</t>
  </si>
  <si>
    <t>Bebidas 42</t>
  </si>
  <si>
    <t>Cerveza</t>
  </si>
  <si>
    <t>Bebidas 33</t>
  </si>
  <si>
    <t>Jugo</t>
  </si>
  <si>
    <t>Bebidas 36</t>
  </si>
  <si>
    <t>Gaseosa</t>
  </si>
  <si>
    <t>Bebidas 31</t>
  </si>
  <si>
    <t>Desinfectante Liquido</t>
  </si>
  <si>
    <t>Aseo</t>
  </si>
  <si>
    <t>Jabón Liquido</t>
  </si>
  <si>
    <t>% of total 'Utilidad' by 'Categoria'</t>
  </si>
  <si>
    <t>Sum of Utilidad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</si>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</sst>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 vertical="center"/>
    </xf>
    <xf numFmtId="10" fontId="0" fillId="0" borderId="0" xfId="0" applyNumberFormat="1"/>
    <xf numFmtId="0" fontId="0" fillId="0" borderId="0" xfId="0" pivotButton="1"/>
  </cellXfs>
  <cellStyles count="1">
    <cellStyle name="Normal" xfId="0" builtinId="0"/>
  </cellStyles>
  <dxfs count="3">
    <dxf>
      <numFmt numFmtId="19" formatCode="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[Actividad1607.xlsx]Sheet2!PivotTable1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'Utilidad' by 'Categoria'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Sheet2!$C$5:$C$11</c:f>
              <c:strCache>
                <c:ptCount val="6"/>
                <c:pt idx="0">
                  <c:v>Alimentos</c:v>
                </c:pt>
                <c:pt idx="1">
                  <c:v>Aseo</c:v>
                </c:pt>
                <c:pt idx="2">
                  <c:v>Bebidas 42</c:v>
                </c:pt>
                <c:pt idx="3">
                  <c:v>Bebidas 33</c:v>
                </c:pt>
                <c:pt idx="4">
                  <c:v>Bebidas 36</c:v>
                </c:pt>
                <c:pt idx="5">
                  <c:v>Bebidas 31</c:v>
                </c:pt>
              </c:strCache>
            </c:strRef>
          </c:cat>
          <c:val>
            <c:numRef>
              <c:f>Sheet2!$D$5:$D$11</c:f>
              <c:numCache>
                <c:formatCode>0.00%</c:formatCode>
                <c:ptCount val="6"/>
                <c:pt idx="0">
                  <c:v>0.76016227825948623</c:v>
                </c:pt>
                <c:pt idx="1">
                  <c:v>0.23784901758014479</c:v>
                </c:pt>
                <c:pt idx="2">
                  <c:v>9.5457799697716977E-3</c:v>
                </c:pt>
                <c:pt idx="3">
                  <c:v>-1.1932224962214622E-3</c:v>
                </c:pt>
                <c:pt idx="4">
                  <c:v>-1.9887041603691038E-3</c:v>
                </c:pt>
                <c:pt idx="5">
                  <c:v>-4.3751491528120278E-3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9D-4CB5-B273-92A006400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705476560"/>
        <c:axId val="705453520"/>
      </c:barChart>
      <c:catAx>
        <c:axId val="705476560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Categoria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705453520"/>
        <c:crosses val="autoZero"/>
        <c:auto val="1"/>
        <c:lblAlgn val="ctr"/>
        <c:lblOffset val="100"/>
        <c:noMultiLvlLbl val="0"/>
      </c:catAx>
      <c:valAx>
        <c:axId val="70545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GT"/>
                  <a:t>Utilidad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GT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705476560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304800</xdr:colOff>
      <xdr:row>17</xdr:row>
      <xdr:rowOff>76200</xdr:rowOff>
    </xdr:to>
    <xdr:graphicFrame macro="">
      <xdr:nvGraphicFramePr>
        <xdr:cNvPr id="2" name="Chart 1" descr="Chart type: Clustered Bar. Percentage of 'Utilidad' by 'Categoria'&#10;&#10;Description automatically generated">
          <a:extLst>
            <a:ext uri="{FF2B5EF4-FFF2-40B4-BE49-F238E27FC236}">
              <a16:creationId xmlns:a16="http://schemas.microsoft.com/office/drawing/2014/main" id="{0199F55A-98DB-C02E-E5A4-C212F6EBAD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say" refreshedDate="45854.400925578702" createdVersion="8" refreshedVersion="8" minRefreshableVersion="3" recordCount="66" xr:uid="{81E240AA-DB53-4EA4-9738-38E8CD2E7DAF}">
  <cacheSource type="worksheet">
    <worksheetSource ref="A1:J67" sheet="Productos"/>
  </cacheSource>
  <cacheFields count="10">
    <cacheField name="Producto" numFmtId="0">
      <sharedItems/>
    </cacheField>
    <cacheField name="Cantidad (g/ml)" numFmtId="0">
      <sharedItems containsSemiMixedTypes="0" containsString="0" containsNumber="1" containsInteger="1" minValue="200" maxValue="1500"/>
    </cacheField>
    <cacheField name="Categoria" numFmtId="0">
      <sharedItems count="6">
        <s v="Alimentos"/>
        <s v="Bebidas 42"/>
        <s v="Bebidas 33"/>
        <s v="Bebidas 36"/>
        <s v="Bebidas 31"/>
        <s v="Aseo"/>
      </sharedItems>
    </cacheField>
    <cacheField name="Unidades Vendidas" numFmtId="0">
      <sharedItems containsSemiMixedTypes="0" containsString="0" containsNumber="1" containsInteger="1" minValue="4" maxValue="84"/>
    </cacheField>
    <cacheField name="Precio Unitario" numFmtId="0">
      <sharedItems containsSemiMixedTypes="0" containsString="0" containsNumber="1" minValue="2.8" maxValue="15"/>
    </cacheField>
    <cacheField name="Costo Unidad" numFmtId="0">
      <sharedItems containsSemiMixedTypes="0" containsString="0" containsNumber="1" minValue="1" maxValue="11"/>
    </cacheField>
    <cacheField name="Fecha" numFmtId="14">
      <sharedItems containsSemiMixedTypes="0" containsNonDate="0" containsDate="1" containsString="0" minDate="2016-07-01T00:00:00" maxDate="2016-07-04T00:00:00"/>
    </cacheField>
    <cacheField name="Ingreso" numFmtId="0">
      <sharedItems containsSemiMixedTypes="0" containsString="0" containsNumber="1" minValue="12" maxValue="630"/>
    </cacheField>
    <cacheField name="Costos" numFmtId="0">
      <sharedItems containsSemiMixedTypes="0" containsString="0" containsNumber="1" minValue="8" maxValue="462"/>
    </cacheField>
    <cacheField name="Utilidad" numFmtId="0">
      <sharedItems containsSemiMixedTypes="0" containsString="0" containsNumber="1" minValue="-35" maxValue="1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Pasta"/>
    <n v="250"/>
    <x v="0"/>
    <n v="84"/>
    <n v="4"/>
    <n v="3"/>
    <d v="2016-07-01T00:00:00"/>
    <n v="336"/>
    <n v="252"/>
    <n v="84"/>
  </r>
  <r>
    <s v="Spaguetti"/>
    <n v="250"/>
    <x v="0"/>
    <n v="36"/>
    <n v="2.8"/>
    <n v="1.5"/>
    <d v="2016-07-01T00:00:00"/>
    <n v="100.8"/>
    <n v="54"/>
    <n v="46.8"/>
  </r>
  <r>
    <s v="Cereal"/>
    <n v="400"/>
    <x v="0"/>
    <n v="28"/>
    <n v="5"/>
    <n v="4"/>
    <d v="2016-07-01T00:00:00"/>
    <n v="140"/>
    <n v="112"/>
    <n v="28"/>
  </r>
  <r>
    <s v="Fríjol"/>
    <n v="500"/>
    <x v="0"/>
    <n v="30"/>
    <n v="4"/>
    <n v="3"/>
    <d v="2016-07-01T00:00:00"/>
    <n v="120"/>
    <n v="90"/>
    <n v="30"/>
  </r>
  <r>
    <s v="Mantequilla"/>
    <n v="250"/>
    <x v="0"/>
    <n v="23"/>
    <n v="7"/>
    <n v="6"/>
    <d v="2016-07-01T00:00:00"/>
    <n v="161"/>
    <n v="138"/>
    <n v="23"/>
  </r>
  <r>
    <s v="Queso"/>
    <n v="500"/>
    <x v="0"/>
    <n v="16"/>
    <n v="4"/>
    <n v="1.8"/>
    <d v="2016-07-01T00:00:00"/>
    <n v="64"/>
    <n v="28.8"/>
    <n v="35.200000000000003"/>
  </r>
  <r>
    <s v="Chocolate"/>
    <n v="1000"/>
    <x v="0"/>
    <n v="42"/>
    <n v="7"/>
    <n v="5.4"/>
    <d v="2016-07-01T00:00:00"/>
    <n v="294"/>
    <n v="226.8"/>
    <n v="67.199999999999989"/>
  </r>
  <r>
    <s v="Café"/>
    <n v="200"/>
    <x v="0"/>
    <n v="34"/>
    <n v="6"/>
    <n v="5"/>
    <d v="2016-07-01T00:00:00"/>
    <n v="204"/>
    <n v="170"/>
    <n v="34"/>
  </r>
  <r>
    <s v="Azúcar"/>
    <n v="1000"/>
    <x v="0"/>
    <n v="27"/>
    <n v="5"/>
    <n v="3"/>
    <d v="2016-07-01T00:00:00"/>
    <n v="135"/>
    <n v="81"/>
    <n v="54"/>
  </r>
  <r>
    <s v="Sal"/>
    <n v="1000"/>
    <x v="0"/>
    <n v="18"/>
    <n v="4"/>
    <n v="3.5"/>
    <d v="2016-07-01T00:00:00"/>
    <n v="72"/>
    <n v="63"/>
    <n v="9"/>
  </r>
  <r>
    <s v="Arroz"/>
    <n v="500"/>
    <x v="0"/>
    <n v="31"/>
    <n v="6"/>
    <n v="4"/>
    <d v="2016-07-01T00:00:00"/>
    <n v="186"/>
    <n v="124"/>
    <n v="62"/>
  </r>
  <r>
    <s v="Lentejas"/>
    <n v="500"/>
    <x v="0"/>
    <n v="54"/>
    <n v="5"/>
    <n v="4"/>
    <d v="2016-07-01T00:00:00"/>
    <n v="270"/>
    <n v="216"/>
    <n v="54"/>
  </r>
  <r>
    <s v="Pan"/>
    <n v="500"/>
    <x v="0"/>
    <n v="27"/>
    <n v="4"/>
    <n v="1"/>
    <d v="2016-07-01T00:00:00"/>
    <n v="108"/>
    <n v="27"/>
    <n v="81"/>
  </r>
  <r>
    <s v="Jamón"/>
    <n v="300"/>
    <x v="0"/>
    <n v="15"/>
    <n v="4"/>
    <n v="5"/>
    <d v="2016-07-01T00:00:00"/>
    <n v="60"/>
    <n v="75"/>
    <n v="-15"/>
  </r>
  <r>
    <s v="Carne"/>
    <n v="500"/>
    <x v="0"/>
    <n v="35"/>
    <n v="5"/>
    <n v="6"/>
    <d v="2016-07-01T00:00:00"/>
    <n v="175"/>
    <n v="210"/>
    <n v="-35"/>
  </r>
  <r>
    <s v="Pollo"/>
    <n v="500"/>
    <x v="0"/>
    <n v="30"/>
    <n v="8"/>
    <n v="7"/>
    <d v="2016-07-01T00:00:00"/>
    <n v="240"/>
    <n v="210"/>
    <n v="30"/>
  </r>
  <r>
    <s v="Leche"/>
    <n v="1000"/>
    <x v="1"/>
    <n v="4"/>
    <n v="4"/>
    <n v="2"/>
    <d v="2016-07-01T00:00:00"/>
    <n v="16"/>
    <n v="8"/>
    <n v="8"/>
  </r>
  <r>
    <s v="Cerveza"/>
    <n v="350"/>
    <x v="2"/>
    <n v="4"/>
    <n v="3"/>
    <n v="4"/>
    <d v="2016-07-01T00:00:00"/>
    <n v="12"/>
    <n v="16"/>
    <n v="-4"/>
  </r>
  <r>
    <s v="Jugo"/>
    <n v="350"/>
    <x v="3"/>
    <n v="5"/>
    <n v="3"/>
    <n v="4"/>
    <d v="2016-07-01T00:00:00"/>
    <n v="15"/>
    <n v="20"/>
    <n v="-5"/>
  </r>
  <r>
    <s v="Gaseosa"/>
    <n v="350"/>
    <x v="4"/>
    <n v="8"/>
    <n v="3"/>
    <n v="4"/>
    <d v="2016-07-01T00:00:00"/>
    <n v="24"/>
    <n v="32"/>
    <n v="-8"/>
  </r>
  <r>
    <s v="Desinfectante Liquido"/>
    <n v="1500"/>
    <x v="5"/>
    <n v="42"/>
    <n v="14"/>
    <n v="11"/>
    <d v="2016-07-01T00:00:00"/>
    <n v="588"/>
    <n v="462"/>
    <n v="126"/>
  </r>
  <r>
    <s v="Jabón Liquido"/>
    <n v="1000"/>
    <x v="5"/>
    <n v="25"/>
    <n v="11"/>
    <n v="9"/>
    <d v="2016-07-01T00:00:00"/>
    <n v="275"/>
    <n v="225"/>
    <n v="50"/>
  </r>
  <r>
    <s v="Pasta"/>
    <n v="250"/>
    <x v="0"/>
    <n v="41"/>
    <n v="4"/>
    <n v="3"/>
    <d v="2016-07-02T00:00:00"/>
    <n v="164"/>
    <n v="123"/>
    <n v="41"/>
  </r>
  <r>
    <s v="Spaguetti"/>
    <n v="250"/>
    <x v="0"/>
    <n v="39"/>
    <n v="3.5"/>
    <n v="2.5"/>
    <d v="2016-07-02T00:00:00"/>
    <n v="136.5"/>
    <n v="97.5"/>
    <n v="39"/>
  </r>
  <r>
    <s v="Cereal"/>
    <n v="400"/>
    <x v="0"/>
    <n v="40"/>
    <n v="5"/>
    <n v="4"/>
    <d v="2016-07-02T00:00:00"/>
    <n v="200"/>
    <n v="160"/>
    <n v="40"/>
  </r>
  <r>
    <s v="Fríjol"/>
    <n v="500"/>
    <x v="0"/>
    <n v="31"/>
    <n v="4"/>
    <n v="3"/>
    <d v="2016-07-02T00:00:00"/>
    <n v="124"/>
    <n v="93"/>
    <n v="31"/>
  </r>
  <r>
    <s v="Mantequilla"/>
    <n v="250"/>
    <x v="0"/>
    <n v="33"/>
    <n v="7"/>
    <n v="6"/>
    <d v="2016-07-02T00:00:00"/>
    <n v="231"/>
    <n v="198"/>
    <n v="33"/>
  </r>
  <r>
    <s v="Queso"/>
    <n v="500"/>
    <x v="0"/>
    <n v="26"/>
    <n v="4"/>
    <n v="2.5"/>
    <d v="2016-07-02T00:00:00"/>
    <n v="104"/>
    <n v="65"/>
    <n v="39"/>
  </r>
  <r>
    <s v="Chocolate"/>
    <n v="1000"/>
    <x v="0"/>
    <n v="42"/>
    <n v="7"/>
    <n v="5.5"/>
    <d v="2016-07-02T00:00:00"/>
    <n v="294"/>
    <n v="231"/>
    <n v="63"/>
  </r>
  <r>
    <s v="Café"/>
    <n v="200"/>
    <x v="0"/>
    <n v="34"/>
    <n v="6"/>
    <n v="5"/>
    <d v="2016-07-02T00:00:00"/>
    <n v="204"/>
    <n v="170"/>
    <n v="34"/>
  </r>
  <r>
    <s v="Azúcar"/>
    <n v="1000"/>
    <x v="0"/>
    <n v="27"/>
    <n v="5"/>
    <n v="4"/>
    <d v="2016-07-02T00:00:00"/>
    <n v="135"/>
    <n v="108"/>
    <n v="27"/>
  </r>
  <r>
    <s v="Sal"/>
    <n v="1000"/>
    <x v="0"/>
    <n v="28"/>
    <n v="5"/>
    <n v="3.9"/>
    <d v="2016-07-02T00:00:00"/>
    <n v="140"/>
    <n v="109.2"/>
    <n v="30.799999999999997"/>
  </r>
  <r>
    <s v="Arroz"/>
    <n v="500"/>
    <x v="0"/>
    <n v="31"/>
    <n v="6"/>
    <n v="5"/>
    <d v="2016-07-02T00:00:00"/>
    <n v="186"/>
    <n v="155"/>
    <n v="31"/>
  </r>
  <r>
    <s v="Lentejas"/>
    <n v="500"/>
    <x v="0"/>
    <n v="40"/>
    <n v="7"/>
    <n v="5"/>
    <d v="2016-07-02T00:00:00"/>
    <n v="280"/>
    <n v="200"/>
    <n v="80"/>
  </r>
  <r>
    <s v="Pan"/>
    <n v="500"/>
    <x v="0"/>
    <n v="27"/>
    <n v="4"/>
    <n v="2"/>
    <d v="2016-07-02T00:00:00"/>
    <n v="108"/>
    <n v="54"/>
    <n v="54"/>
  </r>
  <r>
    <s v="Jamón"/>
    <n v="300"/>
    <x v="0"/>
    <n v="31"/>
    <n v="7"/>
    <n v="5"/>
    <d v="2016-07-02T00:00:00"/>
    <n v="217"/>
    <n v="155"/>
    <n v="62"/>
  </r>
  <r>
    <s v="Carne"/>
    <n v="500"/>
    <x v="0"/>
    <n v="35"/>
    <n v="9"/>
    <n v="7"/>
    <d v="2016-07-02T00:00:00"/>
    <n v="315"/>
    <n v="245"/>
    <n v="70"/>
  </r>
  <r>
    <s v="Pollo"/>
    <n v="500"/>
    <x v="0"/>
    <n v="30"/>
    <n v="10"/>
    <n v="8"/>
    <d v="2016-07-02T00:00:00"/>
    <n v="300"/>
    <n v="240"/>
    <n v="60"/>
  </r>
  <r>
    <s v="Leche"/>
    <n v="1000"/>
    <x v="1"/>
    <n v="4"/>
    <n v="4"/>
    <n v="2"/>
    <d v="2016-07-02T00:00:00"/>
    <n v="16"/>
    <n v="8"/>
    <n v="8"/>
  </r>
  <r>
    <s v="Cerveza"/>
    <n v="350"/>
    <x v="2"/>
    <n v="5"/>
    <n v="5"/>
    <n v="4"/>
    <d v="2016-07-02T00:00:00"/>
    <n v="25"/>
    <n v="20"/>
    <n v="5"/>
  </r>
  <r>
    <s v="Jugo"/>
    <n v="350"/>
    <x v="3"/>
    <n v="5"/>
    <n v="5"/>
    <n v="4"/>
    <d v="2016-07-02T00:00:00"/>
    <n v="25"/>
    <n v="20"/>
    <n v="5"/>
  </r>
  <r>
    <s v="Gaseosa"/>
    <n v="350"/>
    <x v="4"/>
    <n v="5"/>
    <n v="5"/>
    <n v="4"/>
    <d v="2016-07-02T00:00:00"/>
    <n v="25"/>
    <n v="20"/>
    <n v="5"/>
  </r>
  <r>
    <s v="Desinfectante Liquido"/>
    <n v="1500"/>
    <x v="5"/>
    <n v="42"/>
    <n v="15"/>
    <n v="11"/>
    <d v="2016-07-02T00:00:00"/>
    <n v="630"/>
    <n v="462"/>
    <n v="168"/>
  </r>
  <r>
    <s v="Jabón Liquido"/>
    <n v="1000"/>
    <x v="5"/>
    <n v="26"/>
    <n v="12"/>
    <n v="9"/>
    <d v="2016-07-02T00:00:00"/>
    <n v="312"/>
    <n v="234"/>
    <n v="78"/>
  </r>
  <r>
    <s v="Pasta"/>
    <n v="250"/>
    <x v="0"/>
    <n v="84"/>
    <n v="4"/>
    <n v="3"/>
    <d v="2016-07-03T00:00:00"/>
    <n v="336"/>
    <n v="252"/>
    <n v="84"/>
  </r>
  <r>
    <s v="Spaguetti"/>
    <n v="250"/>
    <x v="0"/>
    <n v="36"/>
    <n v="2.8"/>
    <n v="1.5"/>
    <d v="2016-07-03T00:00:00"/>
    <n v="100.8"/>
    <n v="54"/>
    <n v="46.8"/>
  </r>
  <r>
    <s v="Cereal"/>
    <n v="400"/>
    <x v="0"/>
    <n v="28"/>
    <n v="5"/>
    <n v="4"/>
    <d v="2016-07-03T00:00:00"/>
    <n v="140"/>
    <n v="112"/>
    <n v="28"/>
  </r>
  <r>
    <s v="Fríjol"/>
    <n v="500"/>
    <x v="0"/>
    <n v="30"/>
    <n v="4"/>
    <n v="3"/>
    <d v="2016-07-03T00:00:00"/>
    <n v="120"/>
    <n v="90"/>
    <n v="30"/>
  </r>
  <r>
    <s v="Mantequilla"/>
    <n v="250"/>
    <x v="0"/>
    <n v="23"/>
    <n v="7"/>
    <n v="6"/>
    <d v="2016-07-03T00:00:00"/>
    <n v="161"/>
    <n v="138"/>
    <n v="23"/>
  </r>
  <r>
    <s v="Queso"/>
    <n v="500"/>
    <x v="0"/>
    <n v="16"/>
    <n v="4"/>
    <n v="1.8"/>
    <d v="2016-07-03T00:00:00"/>
    <n v="64"/>
    <n v="28.8"/>
    <n v="35.200000000000003"/>
  </r>
  <r>
    <s v="Chocolate"/>
    <n v="1000"/>
    <x v="0"/>
    <n v="42"/>
    <n v="7"/>
    <n v="5.4"/>
    <d v="2016-07-03T00:00:00"/>
    <n v="294"/>
    <n v="226.8"/>
    <n v="67.199999999999989"/>
  </r>
  <r>
    <s v="Café"/>
    <n v="200"/>
    <x v="0"/>
    <n v="34"/>
    <n v="6"/>
    <n v="5"/>
    <d v="2016-07-03T00:00:00"/>
    <n v="204"/>
    <n v="170"/>
    <n v="34"/>
  </r>
  <r>
    <s v="Azúcar"/>
    <n v="1000"/>
    <x v="0"/>
    <n v="27"/>
    <n v="5"/>
    <n v="3"/>
    <d v="2016-07-03T00:00:00"/>
    <n v="135"/>
    <n v="81"/>
    <n v="54"/>
  </r>
  <r>
    <s v="Sal"/>
    <n v="1000"/>
    <x v="0"/>
    <n v="18"/>
    <n v="4"/>
    <n v="3.5"/>
    <d v="2016-07-03T00:00:00"/>
    <n v="72"/>
    <n v="63"/>
    <n v="9"/>
  </r>
  <r>
    <s v="Arroz"/>
    <n v="500"/>
    <x v="0"/>
    <n v="31"/>
    <n v="6"/>
    <n v="4"/>
    <d v="2016-07-03T00:00:00"/>
    <n v="186"/>
    <n v="124"/>
    <n v="62"/>
  </r>
  <r>
    <s v="Lentejas"/>
    <n v="500"/>
    <x v="0"/>
    <n v="54"/>
    <n v="5"/>
    <n v="4"/>
    <d v="2016-07-03T00:00:00"/>
    <n v="270"/>
    <n v="216"/>
    <n v="54"/>
  </r>
  <r>
    <s v="Pan"/>
    <n v="500"/>
    <x v="0"/>
    <n v="27"/>
    <n v="4"/>
    <n v="1"/>
    <d v="2016-07-03T00:00:00"/>
    <n v="108"/>
    <n v="27"/>
    <n v="81"/>
  </r>
  <r>
    <s v="Jamón"/>
    <n v="300"/>
    <x v="0"/>
    <n v="15"/>
    <n v="4"/>
    <n v="5"/>
    <d v="2016-07-03T00:00:00"/>
    <n v="60"/>
    <n v="75"/>
    <n v="-15"/>
  </r>
  <r>
    <s v="Carne"/>
    <n v="500"/>
    <x v="0"/>
    <n v="35"/>
    <n v="5"/>
    <n v="6"/>
    <d v="2016-07-03T00:00:00"/>
    <n v="175"/>
    <n v="210"/>
    <n v="-35"/>
  </r>
  <r>
    <s v="Pollo"/>
    <n v="500"/>
    <x v="0"/>
    <n v="30"/>
    <n v="8"/>
    <n v="7"/>
    <d v="2016-07-03T00:00:00"/>
    <n v="240"/>
    <n v="210"/>
    <n v="30"/>
  </r>
  <r>
    <s v="Leche"/>
    <n v="1000"/>
    <x v="1"/>
    <n v="4"/>
    <n v="4"/>
    <n v="2"/>
    <d v="2016-07-03T00:00:00"/>
    <n v="16"/>
    <n v="8"/>
    <n v="8"/>
  </r>
  <r>
    <s v="Cerveza"/>
    <n v="350"/>
    <x v="2"/>
    <n v="4"/>
    <n v="3"/>
    <n v="4"/>
    <d v="2016-07-03T00:00:00"/>
    <n v="12"/>
    <n v="16"/>
    <n v="-4"/>
  </r>
  <r>
    <s v="Jugo"/>
    <n v="350"/>
    <x v="3"/>
    <n v="5"/>
    <n v="3"/>
    <n v="4"/>
    <d v="2016-07-03T00:00:00"/>
    <n v="15"/>
    <n v="20"/>
    <n v="-5"/>
  </r>
  <r>
    <s v="Gaseosa"/>
    <n v="350"/>
    <x v="4"/>
    <n v="8"/>
    <n v="3"/>
    <n v="4"/>
    <d v="2016-07-03T00:00:00"/>
    <n v="24"/>
    <n v="32"/>
    <n v="-8"/>
  </r>
  <r>
    <s v="Desinfectante Liquido"/>
    <n v="1500"/>
    <x v="5"/>
    <n v="42"/>
    <n v="14"/>
    <n v="11"/>
    <d v="2016-07-03T00:00:00"/>
    <n v="588"/>
    <n v="462"/>
    <n v="126"/>
  </r>
  <r>
    <s v="Jabón Liquido"/>
    <n v="1000"/>
    <x v="5"/>
    <n v="25"/>
    <n v="11"/>
    <n v="9"/>
    <d v="2016-07-03T00:00:00"/>
    <n v="275"/>
    <n v="22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998E5-6A35-4D88-877D-CBAF727AF572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11" firstHeaderRow="1" firstDataRow="1" firstDataCol="1"/>
  <pivotFields count="10">
    <pivotField compact="0" outline="0" showAll="0"/>
    <pivotField compact="0" outline="0" showAll="0"/>
    <pivotField axis="axisRow" compact="0" outline="0" showAll="0" sortType="descending">
      <items count="7">
        <item x="0"/>
        <item x="5"/>
        <item x="4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</pivotFields>
  <rowFields count="1">
    <field x="2"/>
  </rowFields>
  <rowItems count="7">
    <i>
      <x/>
    </i>
    <i>
      <x v="1"/>
    </i>
    <i>
      <x v="5"/>
    </i>
    <i>
      <x v="3"/>
    </i>
    <i>
      <x v="4"/>
    </i>
    <i>
      <x v="2"/>
    </i>
    <i t="grand">
      <x/>
    </i>
  </rowItems>
  <colItems count="1">
    <i/>
  </colItems>
  <dataFields count="1">
    <dataField name="Sum of Utilidad" fld="9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67345C9-03C7-4773-95DF-3926967A224D}" autoFormatId="16" applyNumberFormats="0" applyBorderFormats="0" applyFontFormats="0" applyPatternFormats="0" applyAlignmentFormats="0" applyWidthHeightFormats="0">
  <queryTableRefresh nextId="11">
    <queryTableFields count="10">
      <queryTableField id="1" name="Producto" tableColumnId="1"/>
      <queryTableField id="2" name="Cantidad (g/ml)" tableColumnId="2"/>
      <queryTableField id="3" name="Categoria" tableColumnId="3"/>
      <queryTableField id="4" name="Unidades Vendidas" tableColumnId="4"/>
      <queryTableField id="5" name="Precio Unitario" tableColumnId="5"/>
      <queryTableField id="6" name="Costo Unidad" tableColumnId="6"/>
      <queryTableField id="7" name="Fecha" tableColumnId="7"/>
      <queryTableField id="8" name="Ingreso" tableColumnId="8"/>
      <queryTableField id="9" name="Costos" tableColumnId="9"/>
      <queryTableField id="10" name="Utilida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67E815-207B-4176-84A8-7AF99959455B}" name="Productos" displayName="Productos" ref="A1:J128" tableType="queryTable" totalsRowShown="0">
  <autoFilter ref="A1:J128" xr:uid="{C367E815-207B-4176-84A8-7AF99959455B}"/>
  <tableColumns count="10">
    <tableColumn id="1" xr3:uid="{B42AC525-8C74-4934-870D-6A851E0B0CD7}" uniqueName="1" name="Producto" queryTableFieldId="1" dataDxfId="2"/>
    <tableColumn id="2" xr3:uid="{215CF257-2C8E-435A-B95E-8C08366C5BA3}" uniqueName="2" name="Cantidad (g/ml)" queryTableFieldId="2"/>
    <tableColumn id="3" xr3:uid="{19640E5A-0A47-4A0C-98F5-5792DFA11C9A}" uniqueName="3" name="Categoria" queryTableFieldId="3" dataDxfId="1"/>
    <tableColumn id="4" xr3:uid="{F15875BC-5C76-4585-96EE-B01BC6B057DA}" uniqueName="4" name="Unidades Vendidas" queryTableFieldId="4"/>
    <tableColumn id="5" xr3:uid="{3D8C025F-FAEC-455D-86A5-490FC599F2E9}" uniqueName="5" name="Precio Unitario" queryTableFieldId="5"/>
    <tableColumn id="6" xr3:uid="{004E3345-6E0B-4BEF-8C74-B652496B898F}" uniqueName="6" name="Costo Unidad" queryTableFieldId="6"/>
    <tableColumn id="7" xr3:uid="{340A51CE-E58B-4891-9565-D36DFAC47A61}" uniqueName="7" name="Fecha" queryTableFieldId="7" dataDxfId="0"/>
    <tableColumn id="8" xr3:uid="{D79ECCF3-D23A-4700-962D-DCB63440C9E5}" uniqueName="8" name="Ingreso" queryTableFieldId="8"/>
    <tableColumn id="9" xr3:uid="{8D99438E-97EF-45D9-AA52-C827DE4B2017}" uniqueName="9" name="Costos" queryTableFieldId="9"/>
    <tableColumn id="10" xr3:uid="{000E5765-227D-4BBC-B1B3-CAFB23611B23}" uniqueName="10" name="Utilidad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7BE69-7951-4763-8353-C355F251A027}">
  <dimension ref="A1:J128"/>
  <sheetViews>
    <sheetView zoomScaleNormal="100" workbookViewId="0">
      <selection sqref="A1:J67"/>
    </sheetView>
  </sheetViews>
  <sheetFormatPr defaultRowHeight="15" x14ac:dyDescent="0.25"/>
  <cols>
    <col min="1" max="1" width="20.28515625" bestFit="1" customWidth="1"/>
    <col min="2" max="2" width="17.42578125" bestFit="1" customWidth="1"/>
    <col min="3" max="3" width="12" bestFit="1" customWidth="1"/>
    <col min="4" max="4" width="20.7109375" bestFit="1" customWidth="1"/>
    <col min="5" max="5" width="16.7109375" bestFit="1" customWidth="1"/>
    <col min="6" max="6" width="15.5703125" bestFit="1" customWidth="1"/>
    <col min="7" max="7" width="9.42578125" bestFit="1" customWidth="1"/>
    <col min="8" max="8" width="10" bestFit="1" customWidth="1"/>
    <col min="9" max="9" width="9.7109375" bestFit="1" customWidth="1"/>
    <col min="10" max="10" width="10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>
        <v>250</v>
      </c>
      <c r="C2" s="1" t="s">
        <v>11</v>
      </c>
      <c r="D2">
        <v>84</v>
      </c>
      <c r="E2">
        <v>4</v>
      </c>
      <c r="F2">
        <v>3</v>
      </c>
      <c r="G2" s="2">
        <v>42552</v>
      </c>
      <c r="H2">
        <v>336</v>
      </c>
      <c r="I2">
        <v>252</v>
      </c>
      <c r="J2">
        <v>84</v>
      </c>
    </row>
    <row r="3" spans="1:10" x14ac:dyDescent="0.25">
      <c r="A3" s="1" t="s">
        <v>12</v>
      </c>
      <c r="B3">
        <v>250</v>
      </c>
      <c r="C3" s="1" t="s">
        <v>11</v>
      </c>
      <c r="D3">
        <v>36</v>
      </c>
      <c r="E3">
        <v>2.8</v>
      </c>
      <c r="F3">
        <v>1.5</v>
      </c>
      <c r="G3" s="2">
        <v>42552</v>
      </c>
      <c r="H3">
        <v>100.8</v>
      </c>
      <c r="I3">
        <v>54</v>
      </c>
      <c r="J3">
        <v>46.8</v>
      </c>
    </row>
    <row r="4" spans="1:10" x14ac:dyDescent="0.25">
      <c r="A4" s="1" t="s">
        <v>13</v>
      </c>
      <c r="B4">
        <v>400</v>
      </c>
      <c r="C4" s="1" t="s">
        <v>11</v>
      </c>
      <c r="D4">
        <v>28</v>
      </c>
      <c r="E4">
        <v>5</v>
      </c>
      <c r="F4">
        <v>4</v>
      </c>
      <c r="G4" s="2">
        <v>42552</v>
      </c>
      <c r="H4">
        <v>140</v>
      </c>
      <c r="I4">
        <v>112</v>
      </c>
      <c r="J4">
        <v>28</v>
      </c>
    </row>
    <row r="5" spans="1:10" x14ac:dyDescent="0.25">
      <c r="A5" s="1" t="s">
        <v>14</v>
      </c>
      <c r="B5">
        <v>500</v>
      </c>
      <c r="C5" s="1" t="s">
        <v>11</v>
      </c>
      <c r="D5">
        <v>30</v>
      </c>
      <c r="E5">
        <v>4</v>
      </c>
      <c r="F5">
        <v>3</v>
      </c>
      <c r="G5" s="2">
        <v>42552</v>
      </c>
      <c r="H5">
        <v>120</v>
      </c>
      <c r="I5">
        <v>90</v>
      </c>
      <c r="J5">
        <v>30</v>
      </c>
    </row>
    <row r="6" spans="1:10" x14ac:dyDescent="0.25">
      <c r="A6" s="1" t="s">
        <v>15</v>
      </c>
      <c r="B6">
        <v>250</v>
      </c>
      <c r="C6" s="1" t="s">
        <v>11</v>
      </c>
      <c r="D6">
        <v>23</v>
      </c>
      <c r="E6">
        <v>7</v>
      </c>
      <c r="F6">
        <v>6</v>
      </c>
      <c r="G6" s="2">
        <v>42552</v>
      </c>
      <c r="H6">
        <v>161</v>
      </c>
      <c r="I6">
        <v>138</v>
      </c>
      <c r="J6">
        <v>23</v>
      </c>
    </row>
    <row r="7" spans="1:10" x14ac:dyDescent="0.25">
      <c r="A7" s="1" t="s">
        <v>16</v>
      </c>
      <c r="B7">
        <v>500</v>
      </c>
      <c r="C7" s="1" t="s">
        <v>11</v>
      </c>
      <c r="D7">
        <v>16</v>
      </c>
      <c r="E7">
        <v>4</v>
      </c>
      <c r="F7">
        <v>1.8</v>
      </c>
      <c r="G7" s="2">
        <v>42552</v>
      </c>
      <c r="H7">
        <v>64</v>
      </c>
      <c r="I7">
        <v>28.8</v>
      </c>
      <c r="J7">
        <v>35.200000000000003</v>
      </c>
    </row>
    <row r="8" spans="1:10" x14ac:dyDescent="0.25">
      <c r="A8" s="1" t="s">
        <v>17</v>
      </c>
      <c r="B8">
        <v>1000</v>
      </c>
      <c r="C8" s="1" t="s">
        <v>11</v>
      </c>
      <c r="D8">
        <v>42</v>
      </c>
      <c r="E8">
        <v>7</v>
      </c>
      <c r="F8">
        <v>5.4</v>
      </c>
      <c r="G8" s="2">
        <v>42552</v>
      </c>
      <c r="H8">
        <v>294</v>
      </c>
      <c r="I8">
        <v>226.8</v>
      </c>
      <c r="J8">
        <v>67.199999999999989</v>
      </c>
    </row>
    <row r="9" spans="1:10" x14ac:dyDescent="0.25">
      <c r="A9" s="1" t="s">
        <v>18</v>
      </c>
      <c r="B9">
        <v>200</v>
      </c>
      <c r="C9" s="1" t="s">
        <v>11</v>
      </c>
      <c r="D9">
        <v>34</v>
      </c>
      <c r="E9">
        <v>6</v>
      </c>
      <c r="F9">
        <v>5</v>
      </c>
      <c r="G9" s="2">
        <v>42552</v>
      </c>
      <c r="H9">
        <v>204</v>
      </c>
      <c r="I9">
        <v>170</v>
      </c>
      <c r="J9">
        <v>34</v>
      </c>
    </row>
    <row r="10" spans="1:10" x14ac:dyDescent="0.25">
      <c r="A10" s="1" t="s">
        <v>19</v>
      </c>
      <c r="B10">
        <v>1000</v>
      </c>
      <c r="C10" s="1" t="s">
        <v>11</v>
      </c>
      <c r="D10">
        <v>27</v>
      </c>
      <c r="E10">
        <v>5</v>
      </c>
      <c r="F10">
        <v>3</v>
      </c>
      <c r="G10" s="2">
        <v>42552</v>
      </c>
      <c r="H10">
        <v>135</v>
      </c>
      <c r="I10">
        <v>81</v>
      </c>
      <c r="J10">
        <v>54</v>
      </c>
    </row>
    <row r="11" spans="1:10" x14ac:dyDescent="0.25">
      <c r="A11" s="1" t="s">
        <v>20</v>
      </c>
      <c r="B11">
        <v>1000</v>
      </c>
      <c r="C11" s="1" t="s">
        <v>11</v>
      </c>
      <c r="D11">
        <v>18</v>
      </c>
      <c r="E11">
        <v>4</v>
      </c>
      <c r="F11">
        <v>3.5</v>
      </c>
      <c r="G11" s="2">
        <v>42552</v>
      </c>
      <c r="H11">
        <v>72</v>
      </c>
      <c r="I11">
        <v>63</v>
      </c>
      <c r="J11">
        <v>9</v>
      </c>
    </row>
    <row r="12" spans="1:10" x14ac:dyDescent="0.25">
      <c r="A12" s="1" t="s">
        <v>21</v>
      </c>
      <c r="B12">
        <v>500</v>
      </c>
      <c r="C12" s="1" t="s">
        <v>11</v>
      </c>
      <c r="D12">
        <v>31</v>
      </c>
      <c r="E12">
        <v>6</v>
      </c>
      <c r="F12">
        <v>4</v>
      </c>
      <c r="G12" s="2">
        <v>42552</v>
      </c>
      <c r="H12">
        <v>186</v>
      </c>
      <c r="I12">
        <v>124</v>
      </c>
      <c r="J12">
        <v>62</v>
      </c>
    </row>
    <row r="13" spans="1:10" x14ac:dyDescent="0.25">
      <c r="A13" s="1" t="s">
        <v>22</v>
      </c>
      <c r="B13">
        <v>500</v>
      </c>
      <c r="C13" s="1" t="s">
        <v>11</v>
      </c>
      <c r="D13">
        <v>54</v>
      </c>
      <c r="E13">
        <v>5</v>
      </c>
      <c r="F13">
        <v>4</v>
      </c>
      <c r="G13" s="2">
        <v>42552</v>
      </c>
      <c r="H13">
        <v>270</v>
      </c>
      <c r="I13">
        <v>216</v>
      </c>
      <c r="J13">
        <v>54</v>
      </c>
    </row>
    <row r="14" spans="1:10" x14ac:dyDescent="0.25">
      <c r="A14" s="1" t="s">
        <v>23</v>
      </c>
      <c r="B14">
        <v>500</v>
      </c>
      <c r="C14" s="1" t="s">
        <v>11</v>
      </c>
      <c r="D14">
        <v>27</v>
      </c>
      <c r="E14">
        <v>4</v>
      </c>
      <c r="F14">
        <v>1</v>
      </c>
      <c r="G14" s="2">
        <v>42552</v>
      </c>
      <c r="H14">
        <v>108</v>
      </c>
      <c r="I14">
        <v>27</v>
      </c>
      <c r="J14">
        <v>81</v>
      </c>
    </row>
    <row r="15" spans="1:10" x14ac:dyDescent="0.25">
      <c r="A15" s="1" t="s">
        <v>24</v>
      </c>
      <c r="B15">
        <v>300</v>
      </c>
      <c r="C15" s="1" t="s">
        <v>11</v>
      </c>
      <c r="D15">
        <v>15</v>
      </c>
      <c r="E15">
        <v>4</v>
      </c>
      <c r="F15">
        <v>5</v>
      </c>
      <c r="G15" s="2">
        <v>42552</v>
      </c>
      <c r="H15">
        <v>60</v>
      </c>
      <c r="I15">
        <v>75</v>
      </c>
      <c r="J15">
        <v>-15</v>
      </c>
    </row>
    <row r="16" spans="1:10" x14ac:dyDescent="0.25">
      <c r="A16" s="1" t="s">
        <v>25</v>
      </c>
      <c r="B16">
        <v>500</v>
      </c>
      <c r="C16" s="1" t="s">
        <v>11</v>
      </c>
      <c r="D16">
        <v>35</v>
      </c>
      <c r="E16">
        <v>5</v>
      </c>
      <c r="F16">
        <v>6</v>
      </c>
      <c r="G16" s="2">
        <v>42552</v>
      </c>
      <c r="H16">
        <v>175</v>
      </c>
      <c r="I16">
        <v>210</v>
      </c>
      <c r="J16">
        <v>-35</v>
      </c>
    </row>
    <row r="17" spans="1:10" x14ac:dyDescent="0.25">
      <c r="A17" s="1" t="s">
        <v>26</v>
      </c>
      <c r="B17">
        <v>500</v>
      </c>
      <c r="C17" s="1" t="s">
        <v>11</v>
      </c>
      <c r="D17">
        <v>30</v>
      </c>
      <c r="E17">
        <v>8</v>
      </c>
      <c r="F17">
        <v>7</v>
      </c>
      <c r="G17" s="2">
        <v>42552</v>
      </c>
      <c r="H17">
        <v>240</v>
      </c>
      <c r="I17">
        <v>210</v>
      </c>
      <c r="J17">
        <v>30</v>
      </c>
    </row>
    <row r="18" spans="1:10" x14ac:dyDescent="0.25">
      <c r="A18" s="1" t="s">
        <v>27</v>
      </c>
      <c r="B18">
        <v>1000</v>
      </c>
      <c r="C18" s="1" t="s">
        <v>28</v>
      </c>
      <c r="D18">
        <v>4</v>
      </c>
      <c r="E18">
        <v>4</v>
      </c>
      <c r="F18">
        <v>2</v>
      </c>
      <c r="G18" s="2">
        <v>42552</v>
      </c>
      <c r="H18">
        <v>16</v>
      </c>
      <c r="I18">
        <v>8</v>
      </c>
      <c r="J18">
        <v>8</v>
      </c>
    </row>
    <row r="19" spans="1:10" x14ac:dyDescent="0.25">
      <c r="A19" s="1" t="s">
        <v>29</v>
      </c>
      <c r="B19">
        <v>350</v>
      </c>
      <c r="C19" s="1" t="s">
        <v>30</v>
      </c>
      <c r="D19">
        <v>4</v>
      </c>
      <c r="E19">
        <v>3</v>
      </c>
      <c r="F19">
        <v>4</v>
      </c>
      <c r="G19" s="2">
        <v>42552</v>
      </c>
      <c r="H19">
        <v>12</v>
      </c>
      <c r="I19">
        <v>16</v>
      </c>
      <c r="J19">
        <v>-4</v>
      </c>
    </row>
    <row r="20" spans="1:10" x14ac:dyDescent="0.25">
      <c r="A20" s="1" t="s">
        <v>31</v>
      </c>
      <c r="B20">
        <v>350</v>
      </c>
      <c r="C20" s="1" t="s">
        <v>32</v>
      </c>
      <c r="D20">
        <v>5</v>
      </c>
      <c r="E20">
        <v>3</v>
      </c>
      <c r="F20">
        <v>4</v>
      </c>
      <c r="G20" s="2">
        <v>42552</v>
      </c>
      <c r="H20">
        <v>15</v>
      </c>
      <c r="I20">
        <v>20</v>
      </c>
      <c r="J20">
        <v>-5</v>
      </c>
    </row>
    <row r="21" spans="1:10" x14ac:dyDescent="0.25">
      <c r="A21" s="1" t="s">
        <v>33</v>
      </c>
      <c r="B21">
        <v>350</v>
      </c>
      <c r="C21" s="1" t="s">
        <v>34</v>
      </c>
      <c r="D21">
        <v>8</v>
      </c>
      <c r="E21">
        <v>3</v>
      </c>
      <c r="F21">
        <v>4</v>
      </c>
      <c r="G21" s="2">
        <v>42552</v>
      </c>
      <c r="H21">
        <v>24</v>
      </c>
      <c r="I21">
        <v>32</v>
      </c>
      <c r="J21">
        <v>-8</v>
      </c>
    </row>
    <row r="22" spans="1:10" x14ac:dyDescent="0.25">
      <c r="A22" s="1" t="s">
        <v>35</v>
      </c>
      <c r="B22">
        <v>1500</v>
      </c>
      <c r="C22" s="1" t="s">
        <v>36</v>
      </c>
      <c r="D22">
        <v>42</v>
      </c>
      <c r="E22">
        <v>14</v>
      </c>
      <c r="F22">
        <v>11</v>
      </c>
      <c r="G22" s="2">
        <v>42552</v>
      </c>
      <c r="H22">
        <v>588</v>
      </c>
      <c r="I22">
        <v>462</v>
      </c>
      <c r="J22">
        <v>126</v>
      </c>
    </row>
    <row r="23" spans="1:10" x14ac:dyDescent="0.25">
      <c r="A23" s="1" t="s">
        <v>37</v>
      </c>
      <c r="B23">
        <v>1000</v>
      </c>
      <c r="C23" s="1" t="s">
        <v>36</v>
      </c>
      <c r="D23">
        <v>25</v>
      </c>
      <c r="E23">
        <v>11</v>
      </c>
      <c r="F23">
        <v>9</v>
      </c>
      <c r="G23" s="2">
        <v>42552</v>
      </c>
      <c r="H23">
        <v>275</v>
      </c>
      <c r="I23">
        <v>225</v>
      </c>
      <c r="J23">
        <v>50</v>
      </c>
    </row>
    <row r="24" spans="1:10" x14ac:dyDescent="0.25">
      <c r="A24" s="1" t="s">
        <v>10</v>
      </c>
      <c r="B24">
        <v>250</v>
      </c>
      <c r="C24" s="1" t="s">
        <v>11</v>
      </c>
      <c r="D24">
        <v>41</v>
      </c>
      <c r="E24">
        <v>4</v>
      </c>
      <c r="F24">
        <v>3</v>
      </c>
      <c r="G24" s="2">
        <v>42553</v>
      </c>
      <c r="H24">
        <v>164</v>
      </c>
      <c r="I24">
        <v>123</v>
      </c>
      <c r="J24">
        <v>41</v>
      </c>
    </row>
    <row r="25" spans="1:10" x14ac:dyDescent="0.25">
      <c r="A25" s="1" t="s">
        <v>12</v>
      </c>
      <c r="B25">
        <v>250</v>
      </c>
      <c r="C25" s="1" t="s">
        <v>11</v>
      </c>
      <c r="D25">
        <v>39</v>
      </c>
      <c r="E25">
        <v>3.5</v>
      </c>
      <c r="F25">
        <v>2.5</v>
      </c>
      <c r="G25" s="2">
        <v>42553</v>
      </c>
      <c r="H25">
        <v>136.5</v>
      </c>
      <c r="I25">
        <v>97.5</v>
      </c>
      <c r="J25">
        <v>39</v>
      </c>
    </row>
    <row r="26" spans="1:10" x14ac:dyDescent="0.25">
      <c r="A26" s="1" t="s">
        <v>13</v>
      </c>
      <c r="B26">
        <v>400</v>
      </c>
      <c r="C26" s="1" t="s">
        <v>11</v>
      </c>
      <c r="D26">
        <v>40</v>
      </c>
      <c r="E26">
        <v>5</v>
      </c>
      <c r="F26">
        <v>4</v>
      </c>
      <c r="G26" s="2">
        <v>42553</v>
      </c>
      <c r="H26">
        <v>200</v>
      </c>
      <c r="I26">
        <v>160</v>
      </c>
      <c r="J26">
        <v>40</v>
      </c>
    </row>
    <row r="27" spans="1:10" x14ac:dyDescent="0.25">
      <c r="A27" s="1" t="s">
        <v>14</v>
      </c>
      <c r="B27">
        <v>500</v>
      </c>
      <c r="C27" s="1" t="s">
        <v>11</v>
      </c>
      <c r="D27">
        <v>31</v>
      </c>
      <c r="E27">
        <v>4</v>
      </c>
      <c r="F27">
        <v>3</v>
      </c>
      <c r="G27" s="2">
        <v>42553</v>
      </c>
      <c r="H27">
        <v>124</v>
      </c>
      <c r="I27">
        <v>93</v>
      </c>
      <c r="J27">
        <v>31</v>
      </c>
    </row>
    <row r="28" spans="1:10" x14ac:dyDescent="0.25">
      <c r="A28" s="1" t="s">
        <v>15</v>
      </c>
      <c r="B28">
        <v>250</v>
      </c>
      <c r="C28" s="1" t="s">
        <v>11</v>
      </c>
      <c r="D28">
        <v>33</v>
      </c>
      <c r="E28">
        <v>7</v>
      </c>
      <c r="F28">
        <v>6</v>
      </c>
      <c r="G28" s="2">
        <v>42553</v>
      </c>
      <c r="H28">
        <v>231</v>
      </c>
      <c r="I28">
        <v>198</v>
      </c>
      <c r="J28">
        <v>33</v>
      </c>
    </row>
    <row r="29" spans="1:10" x14ac:dyDescent="0.25">
      <c r="A29" s="1" t="s">
        <v>16</v>
      </c>
      <c r="B29">
        <v>500</v>
      </c>
      <c r="C29" s="1" t="s">
        <v>11</v>
      </c>
      <c r="D29">
        <v>26</v>
      </c>
      <c r="E29">
        <v>4</v>
      </c>
      <c r="F29">
        <v>2.5</v>
      </c>
      <c r="G29" s="2">
        <v>42553</v>
      </c>
      <c r="H29">
        <v>104</v>
      </c>
      <c r="I29">
        <v>65</v>
      </c>
      <c r="J29">
        <v>39</v>
      </c>
    </row>
    <row r="30" spans="1:10" x14ac:dyDescent="0.25">
      <c r="A30" s="1" t="s">
        <v>17</v>
      </c>
      <c r="B30">
        <v>1000</v>
      </c>
      <c r="C30" s="1" t="s">
        <v>11</v>
      </c>
      <c r="D30">
        <v>42</v>
      </c>
      <c r="E30">
        <v>7</v>
      </c>
      <c r="F30">
        <v>5.5</v>
      </c>
      <c r="G30" s="2">
        <v>42553</v>
      </c>
      <c r="H30">
        <v>294</v>
      </c>
      <c r="I30">
        <v>231</v>
      </c>
      <c r="J30">
        <v>63</v>
      </c>
    </row>
    <row r="31" spans="1:10" x14ac:dyDescent="0.25">
      <c r="A31" s="1" t="s">
        <v>18</v>
      </c>
      <c r="B31">
        <v>200</v>
      </c>
      <c r="C31" s="1" t="s">
        <v>11</v>
      </c>
      <c r="D31">
        <v>34</v>
      </c>
      <c r="E31">
        <v>6</v>
      </c>
      <c r="F31">
        <v>5</v>
      </c>
      <c r="G31" s="2">
        <v>42553</v>
      </c>
      <c r="H31">
        <v>204</v>
      </c>
      <c r="I31">
        <v>170</v>
      </c>
      <c r="J31">
        <v>34</v>
      </c>
    </row>
    <row r="32" spans="1:10" x14ac:dyDescent="0.25">
      <c r="A32" s="1" t="s">
        <v>19</v>
      </c>
      <c r="B32">
        <v>1000</v>
      </c>
      <c r="C32" s="1" t="s">
        <v>11</v>
      </c>
      <c r="D32">
        <v>27</v>
      </c>
      <c r="E32">
        <v>5</v>
      </c>
      <c r="F32">
        <v>4</v>
      </c>
      <c r="G32" s="2">
        <v>42553</v>
      </c>
      <c r="H32">
        <v>135</v>
      </c>
      <c r="I32">
        <v>108</v>
      </c>
      <c r="J32">
        <v>27</v>
      </c>
    </row>
    <row r="33" spans="1:10" x14ac:dyDescent="0.25">
      <c r="A33" s="1" t="s">
        <v>20</v>
      </c>
      <c r="B33">
        <v>1000</v>
      </c>
      <c r="C33" s="1" t="s">
        <v>11</v>
      </c>
      <c r="D33">
        <v>28</v>
      </c>
      <c r="E33">
        <v>5</v>
      </c>
      <c r="F33">
        <v>3.9</v>
      </c>
      <c r="G33" s="2">
        <v>42553</v>
      </c>
      <c r="H33">
        <v>140</v>
      </c>
      <c r="I33">
        <v>109.2</v>
      </c>
      <c r="J33">
        <v>30.799999999999997</v>
      </c>
    </row>
    <row r="34" spans="1:10" x14ac:dyDescent="0.25">
      <c r="A34" s="1" t="s">
        <v>21</v>
      </c>
      <c r="B34">
        <v>500</v>
      </c>
      <c r="C34" s="1" t="s">
        <v>11</v>
      </c>
      <c r="D34">
        <v>31</v>
      </c>
      <c r="E34">
        <v>6</v>
      </c>
      <c r="F34">
        <v>5</v>
      </c>
      <c r="G34" s="2">
        <v>42553</v>
      </c>
      <c r="H34">
        <v>186</v>
      </c>
      <c r="I34">
        <v>155</v>
      </c>
      <c r="J34">
        <v>31</v>
      </c>
    </row>
    <row r="35" spans="1:10" x14ac:dyDescent="0.25">
      <c r="A35" s="1" t="s">
        <v>22</v>
      </c>
      <c r="B35">
        <v>500</v>
      </c>
      <c r="C35" s="1" t="s">
        <v>11</v>
      </c>
      <c r="D35">
        <v>40</v>
      </c>
      <c r="E35">
        <v>7</v>
      </c>
      <c r="F35">
        <v>5</v>
      </c>
      <c r="G35" s="2">
        <v>42553</v>
      </c>
      <c r="H35">
        <v>280</v>
      </c>
      <c r="I35">
        <v>200</v>
      </c>
      <c r="J35">
        <v>80</v>
      </c>
    </row>
    <row r="36" spans="1:10" x14ac:dyDescent="0.25">
      <c r="A36" s="1" t="s">
        <v>23</v>
      </c>
      <c r="B36">
        <v>500</v>
      </c>
      <c r="C36" s="1" t="s">
        <v>11</v>
      </c>
      <c r="D36">
        <v>27</v>
      </c>
      <c r="E36">
        <v>4</v>
      </c>
      <c r="F36">
        <v>2</v>
      </c>
      <c r="G36" s="2">
        <v>42553</v>
      </c>
      <c r="H36">
        <v>108</v>
      </c>
      <c r="I36">
        <v>54</v>
      </c>
      <c r="J36">
        <v>54</v>
      </c>
    </row>
    <row r="37" spans="1:10" x14ac:dyDescent="0.25">
      <c r="A37" s="1" t="s">
        <v>24</v>
      </c>
      <c r="B37">
        <v>300</v>
      </c>
      <c r="C37" s="1" t="s">
        <v>11</v>
      </c>
      <c r="D37">
        <v>31</v>
      </c>
      <c r="E37">
        <v>7</v>
      </c>
      <c r="F37">
        <v>5</v>
      </c>
      <c r="G37" s="2">
        <v>42553</v>
      </c>
      <c r="H37">
        <v>217</v>
      </c>
      <c r="I37">
        <v>155</v>
      </c>
      <c r="J37">
        <v>62</v>
      </c>
    </row>
    <row r="38" spans="1:10" x14ac:dyDescent="0.25">
      <c r="A38" s="1" t="s">
        <v>25</v>
      </c>
      <c r="B38">
        <v>500</v>
      </c>
      <c r="C38" s="1" t="s">
        <v>11</v>
      </c>
      <c r="D38">
        <v>35</v>
      </c>
      <c r="E38">
        <v>9</v>
      </c>
      <c r="F38">
        <v>7</v>
      </c>
      <c r="G38" s="2">
        <v>42553</v>
      </c>
      <c r="H38">
        <v>315</v>
      </c>
      <c r="I38">
        <v>245</v>
      </c>
      <c r="J38">
        <v>70</v>
      </c>
    </row>
    <row r="39" spans="1:10" x14ac:dyDescent="0.25">
      <c r="A39" s="1" t="s">
        <v>26</v>
      </c>
      <c r="B39">
        <v>500</v>
      </c>
      <c r="C39" s="1" t="s">
        <v>11</v>
      </c>
      <c r="D39">
        <v>30</v>
      </c>
      <c r="E39">
        <v>10</v>
      </c>
      <c r="F39">
        <v>8</v>
      </c>
      <c r="G39" s="2">
        <v>42553</v>
      </c>
      <c r="H39">
        <v>300</v>
      </c>
      <c r="I39">
        <v>240</v>
      </c>
      <c r="J39">
        <v>60</v>
      </c>
    </row>
    <row r="40" spans="1:10" x14ac:dyDescent="0.25">
      <c r="A40" s="1" t="s">
        <v>27</v>
      </c>
      <c r="B40">
        <v>1000</v>
      </c>
      <c r="C40" s="1" t="s">
        <v>28</v>
      </c>
      <c r="D40">
        <v>4</v>
      </c>
      <c r="E40">
        <v>4</v>
      </c>
      <c r="F40">
        <v>2</v>
      </c>
      <c r="G40" s="2">
        <v>42553</v>
      </c>
      <c r="H40">
        <v>16</v>
      </c>
      <c r="I40">
        <v>8</v>
      </c>
      <c r="J40">
        <v>8</v>
      </c>
    </row>
    <row r="41" spans="1:10" x14ac:dyDescent="0.25">
      <c r="A41" s="1" t="s">
        <v>29</v>
      </c>
      <c r="B41">
        <v>350</v>
      </c>
      <c r="C41" s="1" t="s">
        <v>30</v>
      </c>
      <c r="D41">
        <v>5</v>
      </c>
      <c r="E41">
        <v>5</v>
      </c>
      <c r="F41">
        <v>4</v>
      </c>
      <c r="G41" s="2">
        <v>42553</v>
      </c>
      <c r="H41">
        <v>25</v>
      </c>
      <c r="I41">
        <v>20</v>
      </c>
      <c r="J41">
        <v>5</v>
      </c>
    </row>
    <row r="42" spans="1:10" x14ac:dyDescent="0.25">
      <c r="A42" s="1" t="s">
        <v>31</v>
      </c>
      <c r="B42">
        <v>350</v>
      </c>
      <c r="C42" s="1" t="s">
        <v>32</v>
      </c>
      <c r="D42">
        <v>5</v>
      </c>
      <c r="E42">
        <v>5</v>
      </c>
      <c r="F42">
        <v>4</v>
      </c>
      <c r="G42" s="2">
        <v>42553</v>
      </c>
      <c r="H42">
        <v>25</v>
      </c>
      <c r="I42">
        <v>20</v>
      </c>
      <c r="J42">
        <v>5</v>
      </c>
    </row>
    <row r="43" spans="1:10" x14ac:dyDescent="0.25">
      <c r="A43" s="1" t="s">
        <v>33</v>
      </c>
      <c r="B43">
        <v>350</v>
      </c>
      <c r="C43" s="1" t="s">
        <v>34</v>
      </c>
      <c r="D43">
        <v>5</v>
      </c>
      <c r="E43">
        <v>5</v>
      </c>
      <c r="F43">
        <v>4</v>
      </c>
      <c r="G43" s="2">
        <v>42553</v>
      </c>
      <c r="H43">
        <v>25</v>
      </c>
      <c r="I43">
        <v>20</v>
      </c>
      <c r="J43">
        <v>5</v>
      </c>
    </row>
    <row r="44" spans="1:10" x14ac:dyDescent="0.25">
      <c r="A44" s="1" t="s">
        <v>35</v>
      </c>
      <c r="B44">
        <v>1500</v>
      </c>
      <c r="C44" s="1" t="s">
        <v>36</v>
      </c>
      <c r="D44">
        <v>42</v>
      </c>
      <c r="E44">
        <v>15</v>
      </c>
      <c r="F44">
        <v>11</v>
      </c>
      <c r="G44" s="2">
        <v>42553</v>
      </c>
      <c r="H44">
        <v>630</v>
      </c>
      <c r="I44">
        <v>462</v>
      </c>
      <c r="J44">
        <v>168</v>
      </c>
    </row>
    <row r="45" spans="1:10" x14ac:dyDescent="0.25">
      <c r="A45" s="1" t="s">
        <v>37</v>
      </c>
      <c r="B45">
        <v>1000</v>
      </c>
      <c r="C45" s="1" t="s">
        <v>36</v>
      </c>
      <c r="D45">
        <v>26</v>
      </c>
      <c r="E45">
        <v>12</v>
      </c>
      <c r="F45">
        <v>9</v>
      </c>
      <c r="G45" s="2">
        <v>42553</v>
      </c>
      <c r="H45">
        <v>312</v>
      </c>
      <c r="I45">
        <v>234</v>
      </c>
      <c r="J45">
        <v>78</v>
      </c>
    </row>
    <row r="46" spans="1:10" x14ac:dyDescent="0.25">
      <c r="A46" s="1" t="s">
        <v>10</v>
      </c>
      <c r="B46">
        <v>250</v>
      </c>
      <c r="C46" s="1" t="s">
        <v>11</v>
      </c>
      <c r="D46">
        <v>84</v>
      </c>
      <c r="E46">
        <v>4</v>
      </c>
      <c r="F46">
        <v>3</v>
      </c>
      <c r="G46" s="2">
        <v>42554</v>
      </c>
      <c r="H46">
        <v>336</v>
      </c>
      <c r="I46">
        <v>252</v>
      </c>
      <c r="J46">
        <v>84</v>
      </c>
    </row>
    <row r="47" spans="1:10" x14ac:dyDescent="0.25">
      <c r="A47" s="1" t="s">
        <v>12</v>
      </c>
      <c r="B47">
        <v>250</v>
      </c>
      <c r="C47" s="1" t="s">
        <v>11</v>
      </c>
      <c r="D47">
        <v>36</v>
      </c>
      <c r="E47">
        <v>2.8</v>
      </c>
      <c r="F47">
        <v>1.5</v>
      </c>
      <c r="G47" s="2">
        <v>42554</v>
      </c>
      <c r="H47">
        <v>100.8</v>
      </c>
      <c r="I47">
        <v>54</v>
      </c>
      <c r="J47">
        <v>46.8</v>
      </c>
    </row>
    <row r="48" spans="1:10" x14ac:dyDescent="0.25">
      <c r="A48" s="1" t="s">
        <v>13</v>
      </c>
      <c r="B48">
        <v>400</v>
      </c>
      <c r="C48" s="1" t="s">
        <v>11</v>
      </c>
      <c r="D48">
        <v>28</v>
      </c>
      <c r="E48">
        <v>5</v>
      </c>
      <c r="F48">
        <v>4</v>
      </c>
      <c r="G48" s="2">
        <v>42554</v>
      </c>
      <c r="H48">
        <v>140</v>
      </c>
      <c r="I48">
        <v>112</v>
      </c>
      <c r="J48">
        <v>28</v>
      </c>
    </row>
    <row r="49" spans="1:10" x14ac:dyDescent="0.25">
      <c r="A49" s="1" t="s">
        <v>14</v>
      </c>
      <c r="B49">
        <v>500</v>
      </c>
      <c r="C49" s="1" t="s">
        <v>11</v>
      </c>
      <c r="D49">
        <v>30</v>
      </c>
      <c r="E49">
        <v>4</v>
      </c>
      <c r="F49">
        <v>3</v>
      </c>
      <c r="G49" s="2">
        <v>42554</v>
      </c>
      <c r="H49">
        <v>120</v>
      </c>
      <c r="I49">
        <v>90</v>
      </c>
      <c r="J49">
        <v>30</v>
      </c>
    </row>
    <row r="50" spans="1:10" x14ac:dyDescent="0.25">
      <c r="A50" s="1" t="s">
        <v>15</v>
      </c>
      <c r="B50">
        <v>250</v>
      </c>
      <c r="C50" s="1" t="s">
        <v>11</v>
      </c>
      <c r="D50">
        <v>23</v>
      </c>
      <c r="E50">
        <v>7</v>
      </c>
      <c r="F50">
        <v>6</v>
      </c>
      <c r="G50" s="2">
        <v>42554</v>
      </c>
      <c r="H50">
        <v>161</v>
      </c>
      <c r="I50">
        <v>138</v>
      </c>
      <c r="J50">
        <v>23</v>
      </c>
    </row>
    <row r="51" spans="1:10" x14ac:dyDescent="0.25">
      <c r="A51" s="1" t="s">
        <v>16</v>
      </c>
      <c r="B51">
        <v>500</v>
      </c>
      <c r="C51" s="1" t="s">
        <v>11</v>
      </c>
      <c r="D51">
        <v>16</v>
      </c>
      <c r="E51">
        <v>4</v>
      </c>
      <c r="F51">
        <v>1.8</v>
      </c>
      <c r="G51" s="2">
        <v>42554</v>
      </c>
      <c r="H51">
        <v>64</v>
      </c>
      <c r="I51">
        <v>28.8</v>
      </c>
      <c r="J51">
        <v>35.200000000000003</v>
      </c>
    </row>
    <row r="52" spans="1:10" x14ac:dyDescent="0.25">
      <c r="A52" s="1" t="s">
        <v>17</v>
      </c>
      <c r="B52">
        <v>1000</v>
      </c>
      <c r="C52" s="1" t="s">
        <v>11</v>
      </c>
      <c r="D52">
        <v>42</v>
      </c>
      <c r="E52">
        <v>7</v>
      </c>
      <c r="F52">
        <v>5.4</v>
      </c>
      <c r="G52" s="2">
        <v>42554</v>
      </c>
      <c r="H52">
        <v>294</v>
      </c>
      <c r="I52">
        <v>226.8</v>
      </c>
      <c r="J52">
        <v>67.199999999999989</v>
      </c>
    </row>
    <row r="53" spans="1:10" x14ac:dyDescent="0.25">
      <c r="A53" s="1" t="s">
        <v>18</v>
      </c>
      <c r="B53">
        <v>200</v>
      </c>
      <c r="C53" s="1" t="s">
        <v>11</v>
      </c>
      <c r="D53">
        <v>34</v>
      </c>
      <c r="E53">
        <v>6</v>
      </c>
      <c r="F53">
        <v>5</v>
      </c>
      <c r="G53" s="2">
        <v>42554</v>
      </c>
      <c r="H53">
        <v>204</v>
      </c>
      <c r="I53">
        <v>170</v>
      </c>
      <c r="J53">
        <v>34</v>
      </c>
    </row>
    <row r="54" spans="1:10" x14ac:dyDescent="0.25">
      <c r="A54" s="1" t="s">
        <v>19</v>
      </c>
      <c r="B54">
        <v>1000</v>
      </c>
      <c r="C54" s="1" t="s">
        <v>11</v>
      </c>
      <c r="D54">
        <v>27</v>
      </c>
      <c r="E54">
        <v>5</v>
      </c>
      <c r="F54">
        <v>3</v>
      </c>
      <c r="G54" s="2">
        <v>42554</v>
      </c>
      <c r="H54">
        <v>135</v>
      </c>
      <c r="I54">
        <v>81</v>
      </c>
      <c r="J54">
        <v>54</v>
      </c>
    </row>
    <row r="55" spans="1:10" x14ac:dyDescent="0.25">
      <c r="A55" s="1" t="s">
        <v>20</v>
      </c>
      <c r="B55">
        <v>1000</v>
      </c>
      <c r="C55" s="1" t="s">
        <v>11</v>
      </c>
      <c r="D55">
        <v>18</v>
      </c>
      <c r="E55">
        <v>4</v>
      </c>
      <c r="F55">
        <v>3.5</v>
      </c>
      <c r="G55" s="2">
        <v>42554</v>
      </c>
      <c r="H55">
        <v>72</v>
      </c>
      <c r="I55">
        <v>63</v>
      </c>
      <c r="J55">
        <v>9</v>
      </c>
    </row>
    <row r="56" spans="1:10" x14ac:dyDescent="0.25">
      <c r="A56" s="1" t="s">
        <v>21</v>
      </c>
      <c r="B56">
        <v>500</v>
      </c>
      <c r="C56" s="1" t="s">
        <v>11</v>
      </c>
      <c r="D56">
        <v>31</v>
      </c>
      <c r="E56">
        <v>6</v>
      </c>
      <c r="F56">
        <v>4</v>
      </c>
      <c r="G56" s="2">
        <v>42554</v>
      </c>
      <c r="H56">
        <v>186</v>
      </c>
      <c r="I56">
        <v>124</v>
      </c>
      <c r="J56">
        <v>62</v>
      </c>
    </row>
    <row r="57" spans="1:10" x14ac:dyDescent="0.25">
      <c r="A57" s="1" t="s">
        <v>22</v>
      </c>
      <c r="B57">
        <v>500</v>
      </c>
      <c r="C57" s="1" t="s">
        <v>11</v>
      </c>
      <c r="D57">
        <v>54</v>
      </c>
      <c r="E57">
        <v>5</v>
      </c>
      <c r="F57">
        <v>4</v>
      </c>
      <c r="G57" s="2">
        <v>42554</v>
      </c>
      <c r="H57">
        <v>270</v>
      </c>
      <c r="I57">
        <v>216</v>
      </c>
      <c r="J57">
        <v>54</v>
      </c>
    </row>
    <row r="58" spans="1:10" x14ac:dyDescent="0.25">
      <c r="A58" s="1" t="s">
        <v>23</v>
      </c>
      <c r="B58">
        <v>500</v>
      </c>
      <c r="C58" s="1" t="s">
        <v>11</v>
      </c>
      <c r="D58">
        <v>27</v>
      </c>
      <c r="E58">
        <v>4</v>
      </c>
      <c r="F58">
        <v>1</v>
      </c>
      <c r="G58" s="2">
        <v>42554</v>
      </c>
      <c r="H58">
        <v>108</v>
      </c>
      <c r="I58">
        <v>27</v>
      </c>
      <c r="J58">
        <v>81</v>
      </c>
    </row>
    <row r="59" spans="1:10" x14ac:dyDescent="0.25">
      <c r="A59" s="1" t="s">
        <v>24</v>
      </c>
      <c r="B59">
        <v>300</v>
      </c>
      <c r="C59" s="1" t="s">
        <v>11</v>
      </c>
      <c r="D59">
        <v>15</v>
      </c>
      <c r="E59">
        <v>4</v>
      </c>
      <c r="F59">
        <v>5</v>
      </c>
      <c r="G59" s="2">
        <v>42554</v>
      </c>
      <c r="H59">
        <v>60</v>
      </c>
      <c r="I59">
        <v>75</v>
      </c>
      <c r="J59">
        <v>-15</v>
      </c>
    </row>
    <row r="60" spans="1:10" x14ac:dyDescent="0.25">
      <c r="A60" s="1" t="s">
        <v>25</v>
      </c>
      <c r="B60">
        <v>500</v>
      </c>
      <c r="C60" s="1" t="s">
        <v>11</v>
      </c>
      <c r="D60">
        <v>35</v>
      </c>
      <c r="E60">
        <v>5</v>
      </c>
      <c r="F60">
        <v>6</v>
      </c>
      <c r="G60" s="2">
        <v>42554</v>
      </c>
      <c r="H60">
        <v>175</v>
      </c>
      <c r="I60">
        <v>210</v>
      </c>
      <c r="J60">
        <v>-35</v>
      </c>
    </row>
    <row r="61" spans="1:10" x14ac:dyDescent="0.25">
      <c r="A61" s="1" t="s">
        <v>26</v>
      </c>
      <c r="B61">
        <v>500</v>
      </c>
      <c r="C61" s="1" t="s">
        <v>11</v>
      </c>
      <c r="D61">
        <v>30</v>
      </c>
      <c r="E61">
        <v>8</v>
      </c>
      <c r="F61">
        <v>7</v>
      </c>
      <c r="G61" s="2">
        <v>42554</v>
      </c>
      <c r="H61">
        <v>240</v>
      </c>
      <c r="I61">
        <v>210</v>
      </c>
      <c r="J61">
        <v>30</v>
      </c>
    </row>
    <row r="62" spans="1:10" x14ac:dyDescent="0.25">
      <c r="A62" s="1" t="s">
        <v>27</v>
      </c>
      <c r="B62">
        <v>1000</v>
      </c>
      <c r="C62" s="1" t="s">
        <v>28</v>
      </c>
      <c r="D62">
        <v>4</v>
      </c>
      <c r="E62">
        <v>4</v>
      </c>
      <c r="F62">
        <v>2</v>
      </c>
      <c r="G62" s="2">
        <v>42554</v>
      </c>
      <c r="H62">
        <v>16</v>
      </c>
      <c r="I62">
        <v>8</v>
      </c>
      <c r="J62">
        <v>8</v>
      </c>
    </row>
    <row r="63" spans="1:10" x14ac:dyDescent="0.25">
      <c r="A63" s="1" t="s">
        <v>29</v>
      </c>
      <c r="B63">
        <v>350</v>
      </c>
      <c r="C63" s="1" t="s">
        <v>30</v>
      </c>
      <c r="D63">
        <v>4</v>
      </c>
      <c r="E63">
        <v>3</v>
      </c>
      <c r="F63">
        <v>4</v>
      </c>
      <c r="G63" s="2">
        <v>42554</v>
      </c>
      <c r="H63">
        <v>12</v>
      </c>
      <c r="I63">
        <v>16</v>
      </c>
      <c r="J63">
        <v>-4</v>
      </c>
    </row>
    <row r="64" spans="1:10" x14ac:dyDescent="0.25">
      <c r="A64" s="1" t="s">
        <v>31</v>
      </c>
      <c r="B64">
        <v>350</v>
      </c>
      <c r="C64" s="1" t="s">
        <v>32</v>
      </c>
      <c r="D64">
        <v>5</v>
      </c>
      <c r="E64">
        <v>3</v>
      </c>
      <c r="F64">
        <v>4</v>
      </c>
      <c r="G64" s="2">
        <v>42554</v>
      </c>
      <c r="H64">
        <v>15</v>
      </c>
      <c r="I64">
        <v>20</v>
      </c>
      <c r="J64">
        <v>-5</v>
      </c>
    </row>
    <row r="65" spans="1:10" x14ac:dyDescent="0.25">
      <c r="A65" s="1" t="s">
        <v>33</v>
      </c>
      <c r="B65">
        <v>350</v>
      </c>
      <c r="C65" s="1" t="s">
        <v>34</v>
      </c>
      <c r="D65">
        <v>8</v>
      </c>
      <c r="E65">
        <v>3</v>
      </c>
      <c r="F65">
        <v>4</v>
      </c>
      <c r="G65" s="2">
        <v>42554</v>
      </c>
      <c r="H65">
        <v>24</v>
      </c>
      <c r="I65">
        <v>32</v>
      </c>
      <c r="J65">
        <v>-8</v>
      </c>
    </row>
    <row r="66" spans="1:10" x14ac:dyDescent="0.25">
      <c r="A66" s="1" t="s">
        <v>35</v>
      </c>
      <c r="B66">
        <v>1500</v>
      </c>
      <c r="C66" s="1" t="s">
        <v>36</v>
      </c>
      <c r="D66">
        <v>42</v>
      </c>
      <c r="E66">
        <v>14</v>
      </c>
      <c r="F66">
        <v>11</v>
      </c>
      <c r="G66" s="2">
        <v>42554</v>
      </c>
      <c r="H66">
        <v>588</v>
      </c>
      <c r="I66">
        <v>462</v>
      </c>
      <c r="J66">
        <v>126</v>
      </c>
    </row>
    <row r="67" spans="1:10" x14ac:dyDescent="0.25">
      <c r="A67" s="1" t="s">
        <v>37</v>
      </c>
      <c r="B67">
        <v>1000</v>
      </c>
      <c r="C67" s="1" t="s">
        <v>36</v>
      </c>
      <c r="D67">
        <v>25</v>
      </c>
      <c r="E67">
        <v>11</v>
      </c>
      <c r="F67">
        <v>9</v>
      </c>
      <c r="G67" s="2">
        <v>42554</v>
      </c>
      <c r="H67">
        <v>275</v>
      </c>
      <c r="I67">
        <v>225</v>
      </c>
      <c r="J67">
        <v>50</v>
      </c>
    </row>
    <row r="68" spans="1:10" x14ac:dyDescent="0.25">
      <c r="A68" s="1"/>
      <c r="C68" s="1"/>
      <c r="G68" s="2"/>
    </row>
    <row r="69" spans="1:10" x14ac:dyDescent="0.25">
      <c r="A69" s="1"/>
      <c r="C69" s="1"/>
      <c r="G69" s="2"/>
    </row>
    <row r="70" spans="1:10" x14ac:dyDescent="0.25">
      <c r="A70" s="1"/>
      <c r="C70" s="1"/>
      <c r="G70" s="2"/>
    </row>
    <row r="71" spans="1:10" x14ac:dyDescent="0.25">
      <c r="A71" s="1"/>
      <c r="C71" s="1"/>
      <c r="G71" s="2"/>
    </row>
    <row r="72" spans="1:10" x14ac:dyDescent="0.25">
      <c r="A72" s="1"/>
      <c r="C72" s="1"/>
      <c r="G72" s="2"/>
    </row>
    <row r="73" spans="1:10" x14ac:dyDescent="0.25">
      <c r="A73" s="1"/>
      <c r="C73" s="1"/>
      <c r="G73" s="2"/>
    </row>
    <row r="74" spans="1:10" x14ac:dyDescent="0.25">
      <c r="A74" s="1"/>
      <c r="C74" s="1"/>
      <c r="G74" s="2"/>
    </row>
    <row r="75" spans="1:10" x14ac:dyDescent="0.25">
      <c r="A75" s="1"/>
      <c r="C75" s="1"/>
      <c r="G75" s="2"/>
    </row>
    <row r="76" spans="1:10" x14ac:dyDescent="0.25">
      <c r="A76" s="1"/>
      <c r="C76" s="1"/>
      <c r="G76" s="2"/>
    </row>
    <row r="77" spans="1:10" x14ac:dyDescent="0.25">
      <c r="A77" s="1"/>
      <c r="C77" s="1"/>
      <c r="G77" s="2"/>
    </row>
    <row r="78" spans="1:10" x14ac:dyDescent="0.25">
      <c r="A78" s="1"/>
      <c r="C78" s="1"/>
      <c r="G78" s="2"/>
    </row>
    <row r="79" spans="1:10" x14ac:dyDescent="0.25">
      <c r="A79" s="1"/>
      <c r="C79" s="1"/>
      <c r="G79" s="2"/>
    </row>
    <row r="80" spans="1:10" x14ac:dyDescent="0.25">
      <c r="A80" s="1"/>
      <c r="C80" s="1"/>
      <c r="G80" s="2"/>
    </row>
    <row r="81" spans="1:7" x14ac:dyDescent="0.25">
      <c r="A81" s="1"/>
      <c r="C81" s="1"/>
      <c r="G81" s="2"/>
    </row>
    <row r="82" spans="1:7" x14ac:dyDescent="0.25">
      <c r="A82" s="1"/>
      <c r="C82" s="1"/>
      <c r="G82" s="2"/>
    </row>
    <row r="83" spans="1:7" x14ac:dyDescent="0.25">
      <c r="A83" s="1"/>
      <c r="C83" s="1"/>
      <c r="G83" s="2"/>
    </row>
    <row r="84" spans="1:7" x14ac:dyDescent="0.25">
      <c r="A84" s="1"/>
      <c r="C84" s="1"/>
      <c r="G84" s="2"/>
    </row>
    <row r="85" spans="1:7" x14ac:dyDescent="0.25">
      <c r="A85" s="1"/>
      <c r="C85" s="1"/>
      <c r="G85" s="2"/>
    </row>
    <row r="86" spans="1:7" x14ac:dyDescent="0.25">
      <c r="A86" s="1"/>
      <c r="C86" s="1"/>
      <c r="G86" s="2"/>
    </row>
    <row r="87" spans="1:7" x14ac:dyDescent="0.25">
      <c r="A87" s="1"/>
      <c r="C87" s="1"/>
      <c r="G87" s="2"/>
    </row>
    <row r="88" spans="1:7" x14ac:dyDescent="0.25">
      <c r="A88" s="1"/>
      <c r="C88" s="1"/>
      <c r="G88" s="2"/>
    </row>
    <row r="89" spans="1:7" x14ac:dyDescent="0.25">
      <c r="A89" s="1"/>
      <c r="C89" s="1"/>
      <c r="G89" s="2"/>
    </row>
    <row r="90" spans="1:7" x14ac:dyDescent="0.25">
      <c r="A90" s="1"/>
      <c r="C90" s="1"/>
      <c r="G90" s="2"/>
    </row>
    <row r="91" spans="1:7" x14ac:dyDescent="0.25">
      <c r="A91" s="1"/>
      <c r="C91" s="1"/>
      <c r="G91" s="2"/>
    </row>
    <row r="92" spans="1:7" x14ac:dyDescent="0.25">
      <c r="A92" s="1"/>
      <c r="C92" s="1"/>
      <c r="G92" s="2"/>
    </row>
    <row r="93" spans="1:7" x14ac:dyDescent="0.25">
      <c r="A93" s="1"/>
      <c r="C93" s="1"/>
      <c r="G93" s="2"/>
    </row>
    <row r="94" spans="1:7" x14ac:dyDescent="0.25">
      <c r="A94" s="1"/>
      <c r="C94" s="1"/>
      <c r="G94" s="2"/>
    </row>
    <row r="95" spans="1:7" x14ac:dyDescent="0.25">
      <c r="A95" s="1"/>
      <c r="C95" s="1"/>
      <c r="G95" s="2"/>
    </row>
    <row r="96" spans="1:7" x14ac:dyDescent="0.25">
      <c r="A96" s="1"/>
      <c r="C96" s="1"/>
      <c r="G96" s="2"/>
    </row>
    <row r="97" spans="1:7" x14ac:dyDescent="0.25">
      <c r="A97" s="1"/>
      <c r="C97" s="1"/>
      <c r="G97" s="2"/>
    </row>
    <row r="98" spans="1:7" x14ac:dyDescent="0.25">
      <c r="A98" s="1"/>
      <c r="C98" s="1"/>
      <c r="G98" s="2"/>
    </row>
    <row r="99" spans="1:7" x14ac:dyDescent="0.25">
      <c r="A99" s="1"/>
      <c r="C99" s="1"/>
      <c r="G99" s="2"/>
    </row>
    <row r="100" spans="1:7" x14ac:dyDescent="0.25">
      <c r="A100" s="1"/>
      <c r="C100" s="1"/>
      <c r="G100" s="2"/>
    </row>
    <row r="101" spans="1:7" x14ac:dyDescent="0.25">
      <c r="A101" s="1"/>
      <c r="C101" s="1"/>
      <c r="G101" s="2"/>
    </row>
    <row r="102" spans="1:7" x14ac:dyDescent="0.25">
      <c r="A102" s="1"/>
      <c r="C102" s="1"/>
      <c r="G102" s="2"/>
    </row>
    <row r="103" spans="1:7" x14ac:dyDescent="0.25">
      <c r="A103" s="1"/>
      <c r="C103" s="1"/>
      <c r="G103" s="2"/>
    </row>
    <row r="104" spans="1:7" x14ac:dyDescent="0.25">
      <c r="A104" s="1"/>
      <c r="C104" s="1"/>
      <c r="G104" s="2"/>
    </row>
    <row r="105" spans="1:7" x14ac:dyDescent="0.25">
      <c r="A105" s="1"/>
      <c r="C105" s="1"/>
      <c r="G105" s="2"/>
    </row>
    <row r="106" spans="1:7" x14ac:dyDescent="0.25">
      <c r="A106" s="1"/>
      <c r="C106" s="1"/>
      <c r="G106" s="2"/>
    </row>
    <row r="107" spans="1:7" x14ac:dyDescent="0.25">
      <c r="A107" s="1"/>
      <c r="C107" s="1"/>
      <c r="G107" s="2"/>
    </row>
    <row r="108" spans="1:7" x14ac:dyDescent="0.25">
      <c r="A108" s="1"/>
      <c r="C108" s="1"/>
      <c r="G108" s="2"/>
    </row>
    <row r="109" spans="1:7" x14ac:dyDescent="0.25">
      <c r="A109" s="1"/>
      <c r="C109" s="1"/>
      <c r="G109" s="2"/>
    </row>
    <row r="110" spans="1:7" x14ac:dyDescent="0.25">
      <c r="A110" s="1"/>
      <c r="C110" s="1"/>
      <c r="G110" s="2"/>
    </row>
    <row r="111" spans="1:7" x14ac:dyDescent="0.25">
      <c r="A111" s="1"/>
      <c r="C111" s="1"/>
      <c r="G111" s="2"/>
    </row>
    <row r="112" spans="1:7" x14ac:dyDescent="0.25">
      <c r="A112" s="1"/>
      <c r="C112" s="1"/>
      <c r="G112" s="2"/>
    </row>
    <row r="113" spans="1:7" x14ac:dyDescent="0.25">
      <c r="A113" s="1"/>
      <c r="C113" s="1"/>
      <c r="G113" s="2"/>
    </row>
    <row r="114" spans="1:7" x14ac:dyDescent="0.25">
      <c r="A114" s="1"/>
      <c r="C114" s="1"/>
      <c r="G114" s="2"/>
    </row>
    <row r="115" spans="1:7" x14ac:dyDescent="0.25">
      <c r="A115" s="1"/>
      <c r="C115" s="1"/>
      <c r="G115" s="2"/>
    </row>
    <row r="116" spans="1:7" x14ac:dyDescent="0.25">
      <c r="A116" s="1"/>
      <c r="C116" s="1"/>
      <c r="G116" s="2"/>
    </row>
    <row r="117" spans="1:7" x14ac:dyDescent="0.25">
      <c r="A117" s="1"/>
      <c r="C117" s="1"/>
      <c r="G117" s="2"/>
    </row>
    <row r="118" spans="1:7" x14ac:dyDescent="0.25">
      <c r="A118" s="1"/>
      <c r="C118" s="1"/>
      <c r="G118" s="2"/>
    </row>
    <row r="119" spans="1:7" x14ac:dyDescent="0.25">
      <c r="A119" s="1"/>
      <c r="C119" s="1"/>
      <c r="G119" s="2"/>
    </row>
    <row r="120" spans="1:7" x14ac:dyDescent="0.25">
      <c r="A120" s="1"/>
      <c r="C120" s="1"/>
      <c r="G120" s="2"/>
    </row>
    <row r="121" spans="1:7" x14ac:dyDescent="0.25">
      <c r="A121" s="1"/>
      <c r="C121" s="1"/>
      <c r="G121" s="2"/>
    </row>
    <row r="122" spans="1:7" x14ac:dyDescent="0.25">
      <c r="A122" s="1"/>
      <c r="C122" s="1"/>
      <c r="G122" s="2"/>
    </row>
    <row r="123" spans="1:7" x14ac:dyDescent="0.25">
      <c r="A123" s="1"/>
      <c r="C123" s="1"/>
      <c r="G123" s="2"/>
    </row>
    <row r="124" spans="1:7" x14ac:dyDescent="0.25">
      <c r="A124" s="1"/>
      <c r="C124" s="1"/>
      <c r="G124" s="2"/>
    </row>
    <row r="125" spans="1:7" x14ac:dyDescent="0.25">
      <c r="A125" s="1"/>
      <c r="C125" s="1"/>
      <c r="G125" s="2"/>
    </row>
    <row r="126" spans="1:7" x14ac:dyDescent="0.25">
      <c r="A126" s="1"/>
      <c r="C126" s="1"/>
      <c r="G126" s="2"/>
    </row>
    <row r="127" spans="1:7" x14ac:dyDescent="0.25">
      <c r="A127" s="1"/>
      <c r="C127" s="1"/>
      <c r="G127" s="2"/>
    </row>
    <row r="128" spans="1:7" x14ac:dyDescent="0.25">
      <c r="A128" s="1"/>
      <c r="C128" s="1"/>
      <c r="G128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88DC-507C-45AD-A91D-CA676DC6369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B64B-ED33-4A44-A5DB-FA4CF9838D92}">
  <dimension ref="B2:D11"/>
  <sheetViews>
    <sheetView showGridLines="0" tabSelected="1" workbookViewId="0"/>
  </sheetViews>
  <sheetFormatPr defaultRowHeight="15" x14ac:dyDescent="0.25"/>
  <cols>
    <col min="2" max="2" width="3.85546875" customWidth="1"/>
    <col min="3" max="3" width="12" bestFit="1" customWidth="1"/>
    <col min="4" max="4" width="14.85546875" bestFit="1" customWidth="1"/>
  </cols>
  <sheetData>
    <row r="2" spans="2:4" x14ac:dyDescent="0.25">
      <c r="B2" s="3" t="s">
        <v>38</v>
      </c>
    </row>
    <row r="4" spans="2:4" x14ac:dyDescent="0.25">
      <c r="C4" s="5" t="s">
        <v>2</v>
      </c>
      <c r="D4" t="s">
        <v>39</v>
      </c>
    </row>
    <row r="5" spans="2:4" x14ac:dyDescent="0.25">
      <c r="C5" t="s">
        <v>11</v>
      </c>
      <c r="D5" s="4">
        <v>0.76016227825948623</v>
      </c>
    </row>
    <row r="6" spans="2:4" x14ac:dyDescent="0.25">
      <c r="C6" t="s">
        <v>36</v>
      </c>
      <c r="D6" s="4">
        <v>0.23784901758014479</v>
      </c>
    </row>
    <row r="7" spans="2:4" x14ac:dyDescent="0.25">
      <c r="C7" t="s">
        <v>28</v>
      </c>
      <c r="D7" s="4">
        <v>9.5457799697716977E-3</v>
      </c>
    </row>
    <row r="8" spans="2:4" x14ac:dyDescent="0.25">
      <c r="C8" t="s">
        <v>30</v>
      </c>
      <c r="D8" s="4">
        <v>-1.1932224962214622E-3</v>
      </c>
    </row>
    <row r="9" spans="2:4" x14ac:dyDescent="0.25">
      <c r="C9" t="s">
        <v>32</v>
      </c>
      <c r="D9" s="4">
        <v>-1.9887041603691038E-3</v>
      </c>
    </row>
    <row r="10" spans="2:4" x14ac:dyDescent="0.25">
      <c r="C10" t="s">
        <v>34</v>
      </c>
      <c r="D10" s="4">
        <v>-4.3751491528120278E-3</v>
      </c>
    </row>
    <row r="11" spans="2:4" x14ac:dyDescent="0.25">
      <c r="C11" t="s">
        <v>40</v>
      </c>
      <c r="D11" s="4">
        <v>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0DA221-CD4E-41F4-855E-FC0A6E83DD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Productos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YANIRA AJXUP YAX</dc:creator>
  <cp:lastModifiedBy>ELISA YANIRA AJXUP YAX</cp:lastModifiedBy>
  <dcterms:created xsi:type="dcterms:W3CDTF">2025-07-16T15:15:41Z</dcterms:created>
  <dcterms:modified xsi:type="dcterms:W3CDTF">2025-07-16T15:42:01Z</dcterms:modified>
</cp:coreProperties>
</file>